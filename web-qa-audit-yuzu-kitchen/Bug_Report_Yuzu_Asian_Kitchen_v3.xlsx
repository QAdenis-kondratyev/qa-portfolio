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  <sheet state="visible" name="Summary" sheetId="2" r:id="rId6"/>
  </sheets>
  <definedNames>
    <definedName hidden="1" localSheetId="0" name="_xlnm._FilterDatabase">'Bug Report'!$A$3:$K$7</definedName>
  </definedNames>
  <calcPr/>
</workbook>
</file>

<file path=xl/sharedStrings.xml><?xml version="1.0" encoding="utf-8"?>
<sst xmlns="http://schemas.openxmlformats.org/spreadsheetml/2006/main" count="233" uniqueCount="120">
  <si>
    <t>BUG REPORT — Yuzu Asian Kitchen Website</t>
  </si>
  <si>
    <t>BUG SUMMARY — Yuzu Asian Kitchen</t>
  </si>
  <si>
    <t>Site: yuzuasiankitchen.orderss.co.il  |  Tester: Denis  |  Environment: Chrome 125 / Windows 11</t>
  </si>
  <si>
    <t>Bug ID</t>
  </si>
  <si>
    <t>Title</t>
  </si>
  <si>
    <t>Module</t>
  </si>
  <si>
    <t>Severity</t>
  </si>
  <si>
    <t>Priority</t>
  </si>
  <si>
    <t>Status</t>
  </si>
  <si>
    <t>STATISTICS BY SEVERITY</t>
  </si>
  <si>
    <t>STR (Steps to Reproduce)</t>
  </si>
  <si>
    <t>Expected Result</t>
  </si>
  <si>
    <t>Actual Result</t>
  </si>
  <si>
    <t>STATISTICS BY MODULE</t>
  </si>
  <si>
    <t>Environment</t>
  </si>
  <si>
    <t>Screenshot</t>
  </si>
  <si>
    <t>Attachments</t>
  </si>
  <si>
    <t>BUG-001</t>
  </si>
  <si>
    <t>No limit on quantity of paid add-ons</t>
  </si>
  <si>
    <t>Menu</t>
  </si>
  <si>
    <t>High</t>
  </si>
  <si>
    <t>Count</t>
  </si>
  <si>
    <t>% of Total</t>
  </si>
  <si>
    <t>Open</t>
  </si>
  <si>
    <t>1. Open a product page
2. Find the paid add-ons section
3. Click '+' repeatedly (10+ times)</t>
  </si>
  <si>
    <t>The system limits the quantity or shows a warning</t>
  </si>
  <si>
    <t>An unlimited quantity of paid add-ons can be added — no limit is enforced</t>
  </si>
  <si>
    <t>Chrome 125 / Win11</t>
  </si>
  <si>
    <t>No</t>
  </si>
  <si>
    <t>BUG-002</t>
  </si>
  <si>
    <t>Critical</t>
  </si>
  <si>
    <t>Adding the same product twice creates a duplicate cart line instead of increasing quantity</t>
  </si>
  <si>
    <t>Cart</t>
  </si>
  <si>
    <t>1. Add product X to the cart
2. Return to the menu
3. Add the same product X again</t>
  </si>
  <si>
    <t>The quantity of product X should increase (1→2) as a single cart line</t>
  </si>
  <si>
    <t>A new separate line is created for the same product. Reproducible on all products</t>
  </si>
  <si>
    <t>BUG-003</t>
  </si>
  <si>
    <t>Cart quantity field is non-interactive / cannot be changed</t>
  </si>
  <si>
    <t>Medium</t>
  </si>
  <si>
    <t>1. Add a product to the cart
2. Open the cart panel
3. Try to click/interact with the "Quantity: 1" label to change the quantity</t>
  </si>
  <si>
    <t>The quantity field should be interactive (e.g. +/- buttons or an editable field), allowing the user to adjust quantity directly from the cart</t>
  </si>
  <si>
    <t>The quantity field is a static label with no interactive controls — quantity cannot be changed directly from the cart</t>
  </si>
  <si>
    <t>BUG-004</t>
  </si>
  <si>
    <t>Site logo shown instead of product image in "Edit Product" modal</t>
  </si>
  <si>
    <t>1. Add a product to the cart
2. Open the cart panel
3. Click "Edit Product" (עדכן/י מוצר) on any item</t>
  </si>
  <si>
    <t>The modal displays the actual product image</t>
  </si>
  <si>
    <t>The Yuzu Asian Kitchen site logo is displayed instead of the product image. Reproducible on all products</t>
  </si>
  <si>
    <t>BUG-005</t>
  </si>
  <si>
    <t>Privacy Policy page content remains in Hebrew regardless of selected language</t>
  </si>
  <si>
    <t>Localization</t>
  </si>
  <si>
    <t>1. Open the site and switch language to each of: Russian, English, French, Spanish, Arabic
2. Open the "Privacy Policy" page in the footer for each language</t>
  </si>
  <si>
    <t>Page content is displayed in the selected site language</t>
  </si>
  <si>
    <t>The page title is translated, but the body text remains entirely in Hebrew. Reproduced in all 5 tested languages (RU/EN/FR/ES/AR). Affected scope: Reproduced identically on both tested branches (Haifa and Rishon LeZion). Indicates a platform-level defect in the orderss.co.il ordering engine, not a per-branch content configuration issue.</t>
  </si>
  <si>
    <t>BUG-006</t>
  </si>
  <si>
    <t>Return Policy page content remains in Hebrew regardless of selected language</t>
  </si>
  <si>
    <t>1. Open the site and switch language to each of: Russian, English, French, Spanish, Arabic
2. Open the "Return Policy" page in the footer for each language</t>
  </si>
  <si>
    <t>BUG-007</t>
  </si>
  <si>
    <t>Terms &amp; Conditions page content remains in Hebrew regardless of selected language</t>
  </si>
  <si>
    <t>1. Open the site and switch language to each of: Russian, English, French, Spanish, Arabic
2. Open the "Terms &amp; Conditions" page in the footer for each language</t>
  </si>
  <si>
    <t>Footer</t>
  </si>
  <si>
    <t>BUG-008</t>
  </si>
  <si>
    <t>Accessibility page content remains in Hebrew regardless of selected language</t>
  </si>
  <si>
    <t>1. Open the site and switch language to each of: Russian, English, French, Spanish, Arabic
2. Open the "Accessibility" page in the footer for each language</t>
  </si>
  <si>
    <t>Low</t>
  </si>
  <si>
    <t>BUG-009</t>
  </si>
  <si>
    <t>Facebook Pixel fires 'AddToCart' event even though item is not added to cart</t>
  </si>
  <si>
    <t>Analytics</t>
  </si>
  <si>
    <t>UI/Design</t>
  </si>
  <si>
    <t>1. Open the site while the branch status banner shows it is closed
2. Click '+ הוסף' (Add) on any product, e.g. Edamame
3. Observe the cart panel and Network tab</t>
  </si>
  <si>
    <t>Either the item is added to the cart, or the user sees a clear message explaining ordering is unavailable while the branch is closed. No conversion event should fire for an action that did not succeed.</t>
  </si>
  <si>
    <t>Cart stays empty, no message is shown to the user, but a Facebook Pixel 'AddToCart' request is sent to facebook.com/tr with ev=AddToCart</t>
  </si>
  <si>
    <t>BUG-010</t>
  </si>
  <si>
    <t>Poor background/text contrast in header area across the entire site makes navigation text unreadable</t>
  </si>
  <si>
    <t>1. Open the site
2. Observe the top-left and top-right corners of the header on any page</t>
  </si>
  <si>
    <t>The cherry blossom background image does not interfere with readability; all header/navigation text has sufficient contrast</t>
  </si>
  <si>
    <t>The decorative cherry blossom background blends with the navigation/menu text in the top-left and top-right corners of the header. Reproducible sitewide</t>
  </si>
  <si>
    <t>BUG-011</t>
  </si>
  <si>
    <t>Search returns incomplete results for exact category-matching keywords, across languages</t>
  </si>
  <si>
    <t>Search</t>
  </si>
  <si>
    <t>TOTAL</t>
  </si>
  <si>
    <t>1. (Hebrew) Search "סלמון" (Salmon) — 6 confirmed matching products exist
2. (English) Switch to English, open "California Rolls", search "California"</t>
  </si>
  <si>
    <t>Search should return all products whose name contains the searched term, regardless of selected site language</t>
  </si>
  <si>
    <t>Hebrew: only 1 of 6 matching products shown. English: 0 of 4+ matching products shown. Confirmed broken across multiple keywords, categories, and languages — systemic indexing/matching issue</t>
  </si>
  <si>
    <t>100%</t>
  </si>
  <si>
    <t>BUG-012</t>
  </si>
  <si>
    <t>Declining the drink upsell modal (✕) deletes the entire cart, including the already-confirmed order</t>
  </si>
  <si>
    <t>Highest</t>
  </si>
  <si>
    <t>1. Open the site (branch open)
2. Click '+ הוסף' on any product with add-ons (e.g. Tom Yam Soup, ₪64.00)
3. Confirm the sauce modal with 'הוסף לסל' — cart correctly shows 1 item
4. Drink upsell modal appears automatically
5. Click ✕ to decline (no separate 'No thanks' button exists)</t>
  </si>
  <si>
    <t>Declining the drink upsell should only skip the drink — the already-confirmed item should remain in the cart</t>
  </si>
  <si>
    <t>The entire cart is wiped — resets to 0 items, ₪0.00. The confirmed order is silently lost with no warning or undo. Reproduced twice, cleanly. Business impact: most users will decline the drink upsell — a large share of orders could be silently destroyed at the final step before payment.</t>
  </si>
  <si>
    <t>BUG-013</t>
  </si>
  <si>
    <t>Applying an invalid coupon code shows no error message or any feedback</t>
  </si>
  <si>
    <t>1. Add a product to cart
2. Open the coupon field
3. Enter a clearly invalid code (e.g. "INVALIDCODE123")
4. Click "החל" (Apply)</t>
  </si>
  <si>
    <t>A clear error message should appear (e.g. "Invalid or expired coupon code")</t>
  </si>
  <si>
    <t>Nothing happens — no error message, no toast, no visual feedback. The total stays unchanged and the user has no idea whether the code was rejected</t>
  </si>
  <si>
    <t>BUG STATUS</t>
  </si>
  <si>
    <t>BUG-014</t>
  </si>
  <si>
    <t>No maximum length validation on the order comment field — unlimited text is accepted and submitted</t>
  </si>
  <si>
    <t>Checkout</t>
  </si>
  <si>
    <t>1. Add any product to the cart and proceed to checkout
2. Locate the order comment field ("הערות להזמנה")
3. Paste a single-token string of 34,012 characters (repeated "as", no spaces/line breaks)
4. Submit the order</t>
  </si>
  <si>
    <t>The field enforces a reasonable maximum length (typically 200–500 characters), either blocking further input or showing a validation message, enforced server-side</t>
  </si>
  <si>
    <t>No length limit is enforced. The full 34,012-character string is accepted with no truncation, warning, or validation error, and passes to order submission. Business impact: uncontrolled free-text reaches the kitchen order ticket and can break receipt printing / make the order unreadable for kitchen staff. Reproduced on both tested branches (Haifa and Rishon LeZion).</t>
  </si>
  <si>
    <t>BUG-015</t>
  </si>
  <si>
    <t>No maximum length validation on checkout/registration form fields — order flow proceeds with arbitrarily long values</t>
  </si>
  <si>
    <t>1. Add any product to the cart and proceed to checkout / registration
2. Enter a string of several thousand characters into each form field (name, phone, e-mail, city, street)
3. Continue through the order flow</t>
  </si>
  <si>
    <t>Each field enforces a maximum length appropriate to its data type (e.g. name ≤ 50 chars, phone ≤ 15 digits, street ≤ 100 chars) and blocks submission with a clear validation message when exceeded</t>
  </si>
  <si>
    <t>No length limit is enforced on any field. Values of arbitrary length are accepted and the order flow proceeds without any validation message. Related: BUG-014 (same missing length validation). Reproduced on both tested branches (Haifa and Rishon LeZion).</t>
  </si>
  <si>
    <t>BUG-016</t>
  </si>
  <si>
    <t>Customer name field has no input validation — digits and HTML markup are accepted, persisted, and rendered in the UI</t>
  </si>
  <si>
    <t>1. Proceed to checkout/registration, enter a name containing digits (e.g. "d1nis k02ndratiev") and submit
2. Repeat with a value containing HTML markup (e.g. "Denis&lt;script&gt;alert(1)&lt;/script&gt;")
3. Fill remaining required fields, accept terms, submit
4. After SMS verification, observe the greeting in the site header</t>
  </si>
  <si>
    <t>The name field rejects digits and markup characters ("&lt;", "&gt;", "/") with a clear validation message, accepting only letters, spaces, hyphens and apostrophes. Invalid input blocks progression to SMS verification</t>
  </si>
  <si>
    <t>Neither value is rejected; no validation message; flow proceeds to SMS verification. The markup value is stored on the account and rendered back in the header greeting. Note: markup is rendered as escaped text and does not execute — output encoding is applied correctly, so this is an input-validation/data-integrity defect, not a confirmed script-injection vulnerability. Validation is inconsistent: phone enforces country-code formatting, name enforces nothing. Related: BUG-015. Reproduced on both tested branches (Haifa and Rishon LeZion).</t>
  </si>
  <si>
    <t>In Progress</t>
  </si>
  <si>
    <t>Fixed</t>
  </si>
  <si>
    <t>Closed</t>
  </si>
  <si>
    <t>LEGEND</t>
  </si>
  <si>
    <t>System does not work / data loss</t>
  </si>
  <si>
    <t>Core function is broken</t>
  </si>
  <si>
    <t>Function works incorrectly</t>
  </si>
  <si>
    <t>Cosmetic defect / inconvenience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</si>
</sst>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FFFFFF"/>
      <name val="Arial"/>
    </font>
    <font>
      <b/>
      <sz val="14.0"/>
      <color rgb="FFFFFFFF"/>
      <name val="Arial"/>
    </font>
    <font/>
    <font>
      <sz val="11.0"/>
      <color theme="1"/>
      <name val="Calibri"/>
    </font>
    <font>
      <i/>
      <sz val="10.0"/>
      <color rgb="FFAAAAAA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FFFF"/>
      <name val="Arial"/>
    </font>
    <font>
      <b/>
      <sz val="11.0"/>
      <color theme="1"/>
      <name val="Arial"/>
    </font>
    <font>
      <b/>
      <sz val="9.0"/>
      <color rgb="FF2E75B6"/>
      <name val="Arial"/>
    </font>
    <font>
      <b/>
      <sz val="9.0"/>
      <color rgb="FFF39C12"/>
      <name val="Arial"/>
    </font>
    <font>
      <b/>
      <sz val="9.0"/>
      <color rgb="FF27AE6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E2A3A"/>
        <bgColor rgb="FF1E2A3A"/>
      </patternFill>
    </fill>
    <fill>
      <patternFill patternType="solid">
        <fgColor rgb="FFF0F4F8"/>
        <bgColor rgb="FFF0F4F8"/>
      </patternFill>
    </fill>
    <fill>
      <patternFill patternType="solid">
        <fgColor rgb="FF2E75B6"/>
        <bgColor rgb="FF2E75B6"/>
      </patternFill>
    </fill>
    <fill>
      <patternFill patternType="solid">
        <fgColor rgb="FFF8FBFF"/>
        <bgColor rgb="FFF8FBFF"/>
      </patternFill>
    </fill>
    <fill>
      <patternFill patternType="solid">
        <fgColor rgb="FF34495E"/>
        <bgColor rgb="FF34495E"/>
      </patternFill>
    </fill>
    <fill>
      <patternFill patternType="solid">
        <fgColor rgb="FFE74C3C"/>
        <bgColor rgb="FFE74C3C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39C12"/>
        <bgColor rgb="FFF39C12"/>
      </patternFill>
    </fill>
    <fill>
      <patternFill patternType="solid">
        <fgColor rgb="FF8E44AD"/>
        <bgColor rgb="FF8E44AD"/>
      </patternFill>
    </fill>
    <fill>
      <patternFill patternType="solid">
        <fgColor rgb="FF16A085"/>
        <bgColor rgb="FF16A085"/>
      </patternFill>
    </fill>
    <fill>
      <patternFill patternType="solid">
        <fgColor rgb="FF27AE60"/>
        <bgColor rgb="FF27AE60"/>
      </patternFill>
    </fill>
    <fill>
      <patternFill patternType="solid">
        <fgColor rgb="FFD35400"/>
        <bgColor rgb="FFD35400"/>
      </patternFill>
    </fill>
    <fill>
      <patternFill patternType="solid">
        <fgColor rgb="FFC0392B"/>
        <bgColor rgb="FFC0392B"/>
      </patternFill>
    </fill>
    <fill>
      <patternFill patternType="solid">
        <fgColor rgb="FF7F8C8D"/>
        <bgColor rgb="FF7F8C8D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  <border>
      <left/>
      <right/>
      <top/>
      <bottom/>
    </border>
    <border>
      <left style="thin">
        <color rgb="FFB0C4D8"/>
      </left>
      <top style="thin">
        <color rgb="FFB0C4D8"/>
      </top>
      <bottom style="thin">
        <color rgb="FFB0C4D8"/>
      </bottom>
    </border>
    <border>
      <top style="thin">
        <color rgb="FFB0C4D8"/>
      </top>
      <bottom style="thin">
        <color rgb="FFB0C4D8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horizontal="center" shrinkToFit="0" vertical="center" wrapText="0"/>
    </xf>
    <xf borderId="4" fillId="4" fontId="6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0"/>
    </xf>
    <xf borderId="4" fillId="5" fontId="8" numFmtId="0" xfId="0" applyAlignment="1" applyBorder="1" applyFill="1" applyFont="1">
      <alignment shrinkToFit="0" vertical="center" wrapText="1"/>
    </xf>
    <xf borderId="4" fillId="5" fontId="9" numFmtId="0" xfId="0" applyAlignment="1" applyBorder="1" applyFont="1">
      <alignment shrinkToFit="0" vertical="center" wrapText="1"/>
    </xf>
    <xf borderId="4" fillId="6" fontId="6" numFmtId="0" xfId="0" applyAlignment="1" applyBorder="1" applyFill="1" applyFont="1">
      <alignment horizontal="center" shrinkToFit="0" vertical="center" wrapText="0"/>
    </xf>
    <xf borderId="4" fillId="7" fontId="10" numFmtId="0" xfId="0" applyAlignment="1" applyBorder="1" applyFill="1" applyFont="1">
      <alignment shrinkToFit="0" vertical="center" wrapText="1"/>
    </xf>
    <xf borderId="4" fillId="8" fontId="8" numFmtId="0" xfId="0" applyAlignment="1" applyBorder="1" applyFill="1" applyFont="1">
      <alignment shrinkToFit="0" vertical="center" wrapText="1"/>
    </xf>
    <xf borderId="4" fillId="9" fontId="7" numFmtId="0" xfId="0" applyAlignment="1" applyBorder="1" applyFill="1" applyFont="1">
      <alignment horizontal="center" shrinkToFit="0" vertical="center" wrapText="0"/>
    </xf>
    <xf borderId="4" fillId="8" fontId="9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horizontal="center" shrinkToFit="0" vertical="center" wrapText="0"/>
    </xf>
    <xf borderId="4" fillId="10" fontId="10" numFmtId="0" xfId="0" applyAlignment="1" applyBorder="1" applyFill="1" applyFont="1">
      <alignment shrinkToFit="0" vertical="center" wrapText="1"/>
    </xf>
    <xf borderId="4" fillId="0" fontId="4" numFmtId="9" xfId="0" applyAlignment="1" applyBorder="1" applyFont="1" applyNumberForma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7" fontId="7" numFmtId="0" xfId="0" applyAlignment="1" applyBorder="1" applyFont="1">
      <alignment horizontal="center" shrinkToFit="0" vertical="center" wrapText="0"/>
    </xf>
    <xf borderId="4" fillId="11" fontId="7" numFmtId="0" xfId="0" applyAlignment="1" applyBorder="1" applyFill="1" applyFont="1">
      <alignment horizontal="center" shrinkToFit="0" vertical="center" wrapText="0"/>
    </xf>
    <xf borderId="4" fillId="10" fontId="7" numFmtId="0" xfId="0" applyAlignment="1" applyBorder="1" applyFont="1">
      <alignment horizontal="center" shrinkToFit="0" vertical="center" wrapText="0"/>
    </xf>
    <xf borderId="4" fillId="12" fontId="7" numFmtId="0" xfId="0" applyAlignment="1" applyBorder="1" applyFill="1" applyFont="1">
      <alignment horizontal="center" shrinkToFit="0" vertical="center" wrapText="0"/>
    </xf>
    <xf borderId="4" fillId="13" fontId="7" numFmtId="0" xfId="0" applyAlignment="1" applyBorder="1" applyFill="1" applyFont="1">
      <alignment horizontal="center" shrinkToFit="0" vertical="center" wrapText="0"/>
    </xf>
    <xf borderId="4" fillId="14" fontId="7" numFmtId="0" xfId="0" applyAlignment="1" applyBorder="1" applyFill="1" applyFont="1">
      <alignment horizontal="center" shrinkToFit="0" vertical="center" wrapText="0"/>
    </xf>
    <xf borderId="4" fillId="2" fontId="7" numFmtId="0" xfId="0" applyAlignment="1" applyBorder="1" applyFont="1">
      <alignment horizontal="center" shrinkToFit="0" vertical="center" wrapText="0"/>
    </xf>
    <xf borderId="4" fillId="15" fontId="10" numFmtId="0" xfId="0" applyAlignment="1" applyBorder="1" applyFill="1" applyFont="1">
      <alignment shrinkToFit="0" vertical="center" wrapText="1"/>
    </xf>
    <xf borderId="5" fillId="4" fontId="7" numFmtId="0" xfId="0" applyAlignment="1" applyBorder="1" applyFont="1">
      <alignment horizontal="center" shrinkToFit="0" vertical="center" wrapText="0"/>
    </xf>
    <xf borderId="4" fillId="0" fontId="12" numFmtId="0" xfId="0" applyAlignment="1" applyBorder="1" applyFont="1">
      <alignment horizontal="center" shrinkToFit="0" vertical="center" wrapText="0"/>
    </xf>
    <xf borderId="4" fillId="0" fontId="9" numFmtId="0" xfId="0" applyAlignment="1" applyBorder="1" applyFont="1">
      <alignment horizontal="left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0" fontId="10" numFmtId="0" xfId="0" applyAlignment="1" applyBorder="1" applyFont="1">
      <alignment horizontal="center" shrinkToFit="0" vertical="center" wrapText="0"/>
    </xf>
    <xf borderId="4" fillId="0" fontId="13" numFmtId="0" xfId="0" applyAlignment="1" applyBorder="1" applyFont="1">
      <alignment horizontal="center" shrinkToFit="0" vertical="center" wrapText="0"/>
    </xf>
    <xf borderId="4" fillId="0" fontId="9" numFmtId="0" xfId="0" applyAlignment="1" applyBorder="1" applyFont="1">
      <alignment horizontal="left" shrinkToFit="0" vertical="center" wrapText="1"/>
    </xf>
    <xf borderId="4" fillId="0" fontId="14" numFmtId="0" xfId="0" applyAlignment="1" applyBorder="1" applyFont="1">
      <alignment horizontal="center" shrinkToFit="0" vertical="center" wrapText="0"/>
    </xf>
    <xf borderId="4" fillId="16" fontId="7" numFmtId="0" xfId="0" applyAlignment="1" applyBorder="1" applyFill="1" applyFont="1">
      <alignment horizontal="center" shrinkToFit="0" vertical="center" wrapText="0"/>
    </xf>
    <xf borderId="5" fillId="2" fontId="6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7" fillId="0" fontId="4" numFmtId="0" xfId="0" applyAlignment="1" applyBorder="1" applyFont="1">
      <alignment shrinkToFit="0" vertical="bottom" wrapText="0"/>
    </xf>
    <xf borderId="4" fillId="5" fontId="9" numFmtId="0" xfId="0" applyAlignment="1" applyBorder="1" applyFont="1">
      <alignment shrinkToFit="0" vertical="bottom" wrapText="0"/>
    </xf>
    <xf borderId="4" fillId="8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78.0"/>
    <col customWidth="1" min="3" max="3" width="14.0"/>
    <col customWidth="1" min="4" max="4" width="11.0"/>
    <col customWidth="1" min="5" max="6" width="10.0"/>
    <col customWidth="1" min="7" max="7" width="42.0"/>
    <col customWidth="1" min="8" max="9" width="30.0"/>
    <col customWidth="1" min="10" max="10" width="22.0"/>
    <col customWidth="1" min="11" max="11" width="12.0"/>
    <col customWidth="1" min="12" max="12" width="40.0"/>
  </cols>
  <sheetData>
    <row r="1" ht="34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8.0" customHeight="1">
      <c r="A2" s="6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7.75" customHeight="1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10</v>
      </c>
      <c r="H3" s="7" t="s">
        <v>11</v>
      </c>
      <c r="I3" s="7" t="s">
        <v>12</v>
      </c>
      <c r="J3" s="7" t="s">
        <v>14</v>
      </c>
      <c r="K3" s="7" t="s">
        <v>15</v>
      </c>
      <c r="L3" s="7" t="s">
        <v>16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94.5" customHeight="1">
      <c r="A4" s="9" t="s">
        <v>17</v>
      </c>
      <c r="B4" s="10" t="s">
        <v>18</v>
      </c>
      <c r="C4" s="10" t="s">
        <v>19</v>
      </c>
      <c r="D4" s="12" t="s">
        <v>20</v>
      </c>
      <c r="E4" s="10" t="s">
        <v>20</v>
      </c>
      <c r="F4" s="12" t="s">
        <v>23</v>
      </c>
      <c r="G4" s="10" t="s">
        <v>24</v>
      </c>
      <c r="H4" s="10" t="s">
        <v>25</v>
      </c>
      <c r="I4" s="10" t="s">
        <v>26</v>
      </c>
      <c r="J4" s="10" t="s">
        <v>27</v>
      </c>
      <c r="K4" s="9" t="s">
        <v>28</v>
      </c>
      <c r="L4" s="10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94.5" customHeight="1">
      <c r="A5" s="13" t="s">
        <v>29</v>
      </c>
      <c r="B5" s="15" t="s">
        <v>31</v>
      </c>
      <c r="C5" s="15" t="s">
        <v>32</v>
      </c>
      <c r="D5" s="12" t="s">
        <v>20</v>
      </c>
      <c r="E5" s="15" t="s">
        <v>20</v>
      </c>
      <c r="F5" s="12" t="s">
        <v>23</v>
      </c>
      <c r="G5" s="15" t="s">
        <v>33</v>
      </c>
      <c r="H5" s="15" t="s">
        <v>34</v>
      </c>
      <c r="I5" s="15" t="s">
        <v>35</v>
      </c>
      <c r="J5" s="15" t="s">
        <v>27</v>
      </c>
      <c r="K5" s="13" t="s">
        <v>28</v>
      </c>
      <c r="L5" s="1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94.5" customHeight="1">
      <c r="A6" s="9" t="s">
        <v>36</v>
      </c>
      <c r="B6" s="10" t="s">
        <v>37</v>
      </c>
      <c r="C6" s="10" t="s">
        <v>32</v>
      </c>
      <c r="D6" s="17" t="s">
        <v>38</v>
      </c>
      <c r="E6" s="10" t="s">
        <v>38</v>
      </c>
      <c r="F6" s="12" t="s">
        <v>23</v>
      </c>
      <c r="G6" s="10" t="s">
        <v>39</v>
      </c>
      <c r="H6" s="10" t="s">
        <v>40</v>
      </c>
      <c r="I6" s="10" t="s">
        <v>41</v>
      </c>
      <c r="J6" s="10" t="s">
        <v>27</v>
      </c>
      <c r="K6" s="9" t="s">
        <v>28</v>
      </c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94.5" customHeight="1">
      <c r="A7" s="13" t="s">
        <v>42</v>
      </c>
      <c r="B7" s="15" t="s">
        <v>43</v>
      </c>
      <c r="C7" s="15" t="s">
        <v>32</v>
      </c>
      <c r="D7" s="17" t="s">
        <v>38</v>
      </c>
      <c r="E7" s="15" t="s">
        <v>38</v>
      </c>
      <c r="F7" s="12" t="s">
        <v>23</v>
      </c>
      <c r="G7" s="15" t="s">
        <v>44</v>
      </c>
      <c r="H7" s="15" t="s">
        <v>45</v>
      </c>
      <c r="I7" s="15" t="s">
        <v>46</v>
      </c>
      <c r="J7" s="15" t="s">
        <v>27</v>
      </c>
      <c r="K7" s="13" t="s">
        <v>28</v>
      </c>
      <c r="L7" s="1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94.5" customHeight="1">
      <c r="A8" s="9" t="s">
        <v>47</v>
      </c>
      <c r="B8" s="10" t="s">
        <v>48</v>
      </c>
      <c r="C8" s="10" t="s">
        <v>49</v>
      </c>
      <c r="D8" s="17" t="s">
        <v>38</v>
      </c>
      <c r="E8" s="10" t="s">
        <v>38</v>
      </c>
      <c r="F8" s="12" t="s">
        <v>23</v>
      </c>
      <c r="G8" s="10" t="s">
        <v>50</v>
      </c>
      <c r="H8" s="10" t="s">
        <v>51</v>
      </c>
      <c r="I8" s="10" t="s">
        <v>52</v>
      </c>
      <c r="J8" s="10" t="s">
        <v>27</v>
      </c>
      <c r="K8" s="9" t="s">
        <v>28</v>
      </c>
      <c r="L8" s="10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94.5" customHeight="1">
      <c r="A9" s="13" t="s">
        <v>53</v>
      </c>
      <c r="B9" s="15" t="s">
        <v>54</v>
      </c>
      <c r="C9" s="15" t="s">
        <v>49</v>
      </c>
      <c r="D9" s="17" t="s">
        <v>38</v>
      </c>
      <c r="E9" s="15" t="s">
        <v>38</v>
      </c>
      <c r="F9" s="12" t="s">
        <v>23</v>
      </c>
      <c r="G9" s="15" t="s">
        <v>55</v>
      </c>
      <c r="H9" s="15" t="s">
        <v>51</v>
      </c>
      <c r="I9" s="15" t="s">
        <v>52</v>
      </c>
      <c r="J9" s="15" t="s">
        <v>27</v>
      </c>
      <c r="K9" s="13" t="s">
        <v>28</v>
      </c>
      <c r="L9" s="1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94.5" customHeight="1">
      <c r="A10" s="9" t="s">
        <v>56</v>
      </c>
      <c r="B10" s="10" t="s">
        <v>57</v>
      </c>
      <c r="C10" s="10" t="s">
        <v>49</v>
      </c>
      <c r="D10" s="17" t="s">
        <v>38</v>
      </c>
      <c r="E10" s="10" t="s">
        <v>38</v>
      </c>
      <c r="F10" s="12" t="s">
        <v>23</v>
      </c>
      <c r="G10" s="10" t="s">
        <v>58</v>
      </c>
      <c r="H10" s="10" t="s">
        <v>51</v>
      </c>
      <c r="I10" s="10" t="s">
        <v>52</v>
      </c>
      <c r="J10" s="10" t="s">
        <v>27</v>
      </c>
      <c r="K10" s="9" t="s">
        <v>28</v>
      </c>
      <c r="L10" s="10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94.5" customHeight="1">
      <c r="A11" s="13" t="s">
        <v>60</v>
      </c>
      <c r="B11" s="15" t="s">
        <v>61</v>
      </c>
      <c r="C11" s="15" t="s">
        <v>49</v>
      </c>
      <c r="D11" s="17" t="s">
        <v>38</v>
      </c>
      <c r="E11" s="15" t="s">
        <v>38</v>
      </c>
      <c r="F11" s="12" t="s">
        <v>23</v>
      </c>
      <c r="G11" s="15" t="s">
        <v>62</v>
      </c>
      <c r="H11" s="15" t="s">
        <v>51</v>
      </c>
      <c r="I11" s="15" t="s">
        <v>52</v>
      </c>
      <c r="J11" s="15" t="s">
        <v>27</v>
      </c>
      <c r="K11" s="13" t="s">
        <v>28</v>
      </c>
      <c r="L11" s="1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94.5" customHeight="1">
      <c r="A12" s="9" t="s">
        <v>64</v>
      </c>
      <c r="B12" s="10" t="s">
        <v>65</v>
      </c>
      <c r="C12" s="10" t="s">
        <v>66</v>
      </c>
      <c r="D12" s="17" t="s">
        <v>38</v>
      </c>
      <c r="E12" s="10" t="s">
        <v>38</v>
      </c>
      <c r="F12" s="12" t="s">
        <v>23</v>
      </c>
      <c r="G12" s="10" t="s">
        <v>68</v>
      </c>
      <c r="H12" s="10" t="s">
        <v>69</v>
      </c>
      <c r="I12" s="10" t="s">
        <v>70</v>
      </c>
      <c r="J12" s="10" t="s">
        <v>27</v>
      </c>
      <c r="K12" s="9" t="s">
        <v>28</v>
      </c>
      <c r="L12" s="10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94.5" customHeight="1">
      <c r="A13" s="13" t="s">
        <v>71</v>
      </c>
      <c r="B13" s="15" t="s">
        <v>72</v>
      </c>
      <c r="C13" s="15" t="s">
        <v>67</v>
      </c>
      <c r="D13" s="17" t="s">
        <v>38</v>
      </c>
      <c r="E13" s="15" t="s">
        <v>38</v>
      </c>
      <c r="F13" s="12" t="s">
        <v>23</v>
      </c>
      <c r="G13" s="15" t="s">
        <v>73</v>
      </c>
      <c r="H13" s="15" t="s">
        <v>74</v>
      </c>
      <c r="I13" s="15" t="s">
        <v>75</v>
      </c>
      <c r="J13" s="15" t="s">
        <v>27</v>
      </c>
      <c r="K13" s="13" t="s">
        <v>28</v>
      </c>
      <c r="L13" s="1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94.5" customHeight="1">
      <c r="A14" s="9" t="s">
        <v>76</v>
      </c>
      <c r="B14" s="10" t="s">
        <v>77</v>
      </c>
      <c r="C14" s="10" t="s">
        <v>78</v>
      </c>
      <c r="D14" s="12" t="s">
        <v>20</v>
      </c>
      <c r="E14" s="10" t="s">
        <v>20</v>
      </c>
      <c r="F14" s="12" t="s">
        <v>23</v>
      </c>
      <c r="G14" s="10" t="s">
        <v>80</v>
      </c>
      <c r="H14" s="10" t="s">
        <v>81</v>
      </c>
      <c r="I14" s="10" t="s">
        <v>82</v>
      </c>
      <c r="J14" s="10" t="s">
        <v>27</v>
      </c>
      <c r="K14" s="9" t="s">
        <v>28</v>
      </c>
      <c r="L14" s="10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94.5" customHeight="1">
      <c r="A15" s="13" t="s">
        <v>84</v>
      </c>
      <c r="B15" s="15" t="s">
        <v>85</v>
      </c>
      <c r="C15" s="15" t="s">
        <v>32</v>
      </c>
      <c r="D15" s="27" t="s">
        <v>30</v>
      </c>
      <c r="E15" s="15" t="s">
        <v>86</v>
      </c>
      <c r="F15" s="12" t="s">
        <v>23</v>
      </c>
      <c r="G15" s="15" t="s">
        <v>87</v>
      </c>
      <c r="H15" s="15" t="s">
        <v>88</v>
      </c>
      <c r="I15" s="15" t="s">
        <v>89</v>
      </c>
      <c r="J15" s="15" t="s">
        <v>27</v>
      </c>
      <c r="K15" s="13" t="s">
        <v>28</v>
      </c>
      <c r="L15" s="1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94.5" customHeight="1">
      <c r="A16" s="9" t="s">
        <v>90</v>
      </c>
      <c r="B16" s="10" t="s">
        <v>91</v>
      </c>
      <c r="C16" s="10" t="s">
        <v>32</v>
      </c>
      <c r="D16" s="17" t="s">
        <v>38</v>
      </c>
      <c r="E16" s="10" t="s">
        <v>38</v>
      </c>
      <c r="F16" s="12" t="s">
        <v>23</v>
      </c>
      <c r="G16" s="10" t="s">
        <v>92</v>
      </c>
      <c r="H16" s="10" t="s">
        <v>93</v>
      </c>
      <c r="I16" s="10" t="s">
        <v>94</v>
      </c>
      <c r="J16" s="10" t="s">
        <v>27</v>
      </c>
      <c r="K16" s="9" t="s">
        <v>28</v>
      </c>
      <c r="L16" s="10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94.5" customHeight="1">
      <c r="A17" s="13" t="s">
        <v>96</v>
      </c>
      <c r="B17" s="15" t="s">
        <v>97</v>
      </c>
      <c r="C17" s="15" t="s">
        <v>98</v>
      </c>
      <c r="D17" s="17" t="s">
        <v>38</v>
      </c>
      <c r="E17" s="15" t="s">
        <v>38</v>
      </c>
      <c r="F17" s="12" t="s">
        <v>23</v>
      </c>
      <c r="G17" s="15" t="s">
        <v>99</v>
      </c>
      <c r="H17" s="15" t="s">
        <v>100</v>
      </c>
      <c r="I17" s="15" t="s">
        <v>101</v>
      </c>
      <c r="J17" s="15" t="s">
        <v>27</v>
      </c>
      <c r="K17" s="13" t="s">
        <v>28</v>
      </c>
      <c r="L17" s="1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94.5" customHeight="1">
      <c r="A18" s="9" t="s">
        <v>102</v>
      </c>
      <c r="B18" s="10" t="s">
        <v>103</v>
      </c>
      <c r="C18" s="10" t="s">
        <v>98</v>
      </c>
      <c r="D18" s="17" t="s">
        <v>38</v>
      </c>
      <c r="E18" s="10" t="s">
        <v>38</v>
      </c>
      <c r="F18" s="12" t="s">
        <v>23</v>
      </c>
      <c r="G18" s="10" t="s">
        <v>104</v>
      </c>
      <c r="H18" s="10" t="s">
        <v>105</v>
      </c>
      <c r="I18" s="10" t="s">
        <v>106</v>
      </c>
      <c r="J18" s="10" t="s">
        <v>27</v>
      </c>
      <c r="K18" s="9" t="s">
        <v>28</v>
      </c>
      <c r="L18" s="1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94.5" customHeight="1">
      <c r="A19" s="13" t="s">
        <v>107</v>
      </c>
      <c r="B19" s="15" t="s">
        <v>108</v>
      </c>
      <c r="C19" s="15" t="s">
        <v>98</v>
      </c>
      <c r="D19" s="17" t="s">
        <v>38</v>
      </c>
      <c r="E19" s="15" t="s">
        <v>38</v>
      </c>
      <c r="F19" s="12" t="s">
        <v>23</v>
      </c>
      <c r="G19" s="15" t="s">
        <v>109</v>
      </c>
      <c r="H19" s="15" t="s">
        <v>110</v>
      </c>
      <c r="I19" s="15" t="s">
        <v>111</v>
      </c>
      <c r="J19" s="15" t="s">
        <v>27</v>
      </c>
      <c r="K19" s="13" t="s">
        <v>28</v>
      </c>
      <c r="L19" s="1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69.75" customHeight="1">
      <c r="A20" s="29"/>
      <c r="B20" s="30"/>
      <c r="C20" s="31"/>
      <c r="D20" s="32"/>
      <c r="E20" s="33"/>
      <c r="F20" s="32"/>
      <c r="G20" s="34"/>
      <c r="H20" s="34"/>
      <c r="I20" s="34"/>
      <c r="J20" s="30"/>
      <c r="K20" s="35"/>
      <c r="L20" s="30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69.75" customHeight="1">
      <c r="A21" s="29"/>
      <c r="B21" s="30"/>
      <c r="C21" s="31"/>
      <c r="D21" s="32"/>
      <c r="E21" s="33"/>
      <c r="F21" s="32"/>
      <c r="G21" s="34"/>
      <c r="H21" s="34"/>
      <c r="I21" s="34"/>
      <c r="J21" s="30"/>
      <c r="K21" s="35"/>
      <c r="L21" s="30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69.75" customHeight="1">
      <c r="A22" s="29"/>
      <c r="B22" s="30"/>
      <c r="C22" s="31"/>
      <c r="D22" s="32"/>
      <c r="E22" s="33"/>
      <c r="F22" s="32"/>
      <c r="G22" s="34"/>
      <c r="H22" s="34"/>
      <c r="I22" s="34"/>
      <c r="J22" s="30"/>
      <c r="K22" s="35"/>
      <c r="L22" s="3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69.75" customHeight="1">
      <c r="A23" s="29"/>
      <c r="B23" s="30"/>
      <c r="C23" s="31"/>
      <c r="D23" s="32"/>
      <c r="E23" s="33"/>
      <c r="F23" s="32"/>
      <c r="G23" s="34"/>
      <c r="H23" s="34"/>
      <c r="I23" s="34"/>
      <c r="J23" s="30"/>
      <c r="K23" s="35"/>
      <c r="L23" s="30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69.75" customHeight="1">
      <c r="A24" s="29"/>
      <c r="B24" s="30"/>
      <c r="C24" s="31"/>
      <c r="D24" s="32"/>
      <c r="E24" s="33"/>
      <c r="F24" s="32"/>
      <c r="G24" s="34"/>
      <c r="H24" s="34"/>
      <c r="I24" s="34"/>
      <c r="J24" s="30"/>
      <c r="K24" s="35"/>
      <c r="L24" s="3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69.75" customHeight="1">
      <c r="A25" s="29"/>
      <c r="B25" s="30"/>
      <c r="C25" s="31"/>
      <c r="D25" s="32"/>
      <c r="E25" s="33"/>
      <c r="F25" s="32"/>
      <c r="G25" s="34"/>
      <c r="H25" s="34"/>
      <c r="I25" s="34"/>
      <c r="J25" s="30"/>
      <c r="K25" s="35"/>
      <c r="L25" s="30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69.75" customHeight="1">
      <c r="A26" s="29"/>
      <c r="B26" s="30"/>
      <c r="C26" s="31"/>
      <c r="D26" s="32"/>
      <c r="E26" s="33"/>
      <c r="F26" s="32"/>
      <c r="G26" s="34"/>
      <c r="H26" s="34"/>
      <c r="I26" s="34"/>
      <c r="J26" s="30"/>
      <c r="K26" s="35"/>
      <c r="L26" s="30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69.75" customHeight="1">
      <c r="A27" s="29"/>
      <c r="B27" s="30"/>
      <c r="C27" s="31"/>
      <c r="D27" s="32"/>
      <c r="E27" s="33"/>
      <c r="F27" s="32"/>
      <c r="G27" s="34"/>
      <c r="H27" s="34"/>
      <c r="I27" s="34"/>
      <c r="J27" s="30"/>
      <c r="K27" s="35"/>
      <c r="L27" s="30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69.75" customHeight="1">
      <c r="A28" s="29"/>
      <c r="B28" s="30"/>
      <c r="C28" s="31"/>
      <c r="D28" s="32"/>
      <c r="E28" s="33"/>
      <c r="F28" s="32"/>
      <c r="G28" s="34"/>
      <c r="H28" s="34"/>
      <c r="I28" s="34"/>
      <c r="J28" s="30"/>
      <c r="K28" s="35"/>
      <c r="L28" s="30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69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69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0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0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0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0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0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0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0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0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0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0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autoFilter ref="$A$3:$K$7"/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3" width="12.0"/>
    <col customWidth="1" min="4" max="4" width="4.0"/>
    <col customWidth="1" min="5" max="5" width="14.0"/>
    <col customWidth="1" min="6" max="6" width="8.0"/>
    <col customWidth="1" min="7" max="7" width="12.0"/>
  </cols>
  <sheetData>
    <row r="1" ht="31.5" customHeight="1">
      <c r="A1" s="2" t="s">
        <v>1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8" t="s">
        <v>9</v>
      </c>
      <c r="B3" s="3"/>
      <c r="C3" s="4"/>
      <c r="D3" s="5"/>
      <c r="E3" s="8" t="s">
        <v>13</v>
      </c>
      <c r="F3" s="3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1" t="s">
        <v>6</v>
      </c>
      <c r="B4" s="11" t="s">
        <v>21</v>
      </c>
      <c r="C4" s="11" t="s">
        <v>22</v>
      </c>
      <c r="D4" s="5"/>
      <c r="E4" s="11" t="s">
        <v>5</v>
      </c>
      <c r="F4" s="11" t="s">
        <v>21</v>
      </c>
      <c r="G4" s="11" t="s">
        <v>22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14" t="s">
        <v>30</v>
      </c>
      <c r="B5" s="16">
        <f>COUNTIF('Bug Report'!$D$4:$D$200,A5)</f>
        <v>1</v>
      </c>
      <c r="C5" s="18">
        <f>B5/B10</f>
        <v>0.0625</v>
      </c>
      <c r="D5" s="5"/>
      <c r="E5" s="19" t="s">
        <v>19</v>
      </c>
      <c r="F5" s="16">
        <f>COUNTIF('Bug Report'!$C$4:$C$200,E5)</f>
        <v>1</v>
      </c>
      <c r="G5" s="18">
        <f>F5/F11</f>
        <v>0.0625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20" t="s">
        <v>20</v>
      </c>
      <c r="B6" s="16">
        <f>COUNTIF('Bug Report'!$D$4:$D$200,A6)</f>
        <v>3</v>
      </c>
      <c r="C6" s="18">
        <f>B6/B10</f>
        <v>0.1875</v>
      </c>
      <c r="D6" s="5"/>
      <c r="E6" s="21" t="s">
        <v>32</v>
      </c>
      <c r="F6" s="16">
        <f>COUNTIF('Bug Report'!$C$4:$C$200,E6)</f>
        <v>5</v>
      </c>
      <c r="G6" s="18">
        <f>F6/F11</f>
        <v>0.3125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22" t="s">
        <v>38</v>
      </c>
      <c r="B7" s="16">
        <f>COUNTIF('Bug Report'!$D$4:$D$200,A7)</f>
        <v>12</v>
      </c>
      <c r="C7" s="18">
        <f>B7/B10</f>
        <v>0.75</v>
      </c>
      <c r="D7" s="5"/>
      <c r="E7" s="23" t="s">
        <v>59</v>
      </c>
      <c r="F7" s="16">
        <f>COUNTIF('Bug Report'!$C$4:$C$200,E7)</f>
        <v>0</v>
      </c>
      <c r="G7" s="18">
        <f>F7/F11</f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24" t="s">
        <v>63</v>
      </c>
      <c r="B8" s="16">
        <f>COUNTIF('Bug Report'!$D$4:$D$200,A8)</f>
        <v>0</v>
      </c>
      <c r="C8" s="18">
        <f>B8/B10</f>
        <v>0</v>
      </c>
      <c r="D8" s="5"/>
      <c r="E8" s="25" t="s">
        <v>67</v>
      </c>
      <c r="F8" s="16">
        <f>COUNTIF('Bug Report'!$C$4:$C$200,E8)</f>
        <v>1</v>
      </c>
      <c r="G8" s="18">
        <f>F8/F11</f>
        <v>0.0625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5"/>
      <c r="B9" s="5"/>
      <c r="C9" s="5"/>
      <c r="D9" s="5"/>
      <c r="E9" s="25" t="s">
        <v>66</v>
      </c>
      <c r="F9" s="16">
        <f>COUNTIF('Bug Report'!$C$4:$C$200,E9)</f>
        <v>1</v>
      </c>
      <c r="G9" s="18">
        <f>F9/F11</f>
        <v>0.0625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26" t="s">
        <v>79</v>
      </c>
      <c r="B10" s="26">
        <f>SUM(B5:B8)</f>
        <v>16</v>
      </c>
      <c r="C10" s="26" t="s">
        <v>83</v>
      </c>
      <c r="D10" s="5"/>
      <c r="E10" s="26" t="s">
        <v>49</v>
      </c>
      <c r="F10" s="26">
        <f>COUNTIF('Bug Report'!$C$4:$C$200,E10)</f>
        <v>4</v>
      </c>
      <c r="G10" s="26">
        <f>F10/F11</f>
        <v>0.25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5"/>
      <c r="D11" s="5"/>
      <c r="E11" s="5" t="s">
        <v>79</v>
      </c>
      <c r="F11" s="5">
        <f>SUM(F5:F10)+F12+F13</f>
        <v>16</v>
      </c>
      <c r="G11" s="5">
        <f>F11/F11</f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28" t="s">
        <v>95</v>
      </c>
      <c r="B12" s="5"/>
      <c r="C12" s="5"/>
      <c r="D12" s="5"/>
      <c r="E12" s="5" t="s">
        <v>78</v>
      </c>
      <c r="F12" s="5">
        <f>COUNTIF('Bug Report'!$C$4:$C$200,E12)</f>
        <v>1</v>
      </c>
      <c r="G12" s="5">
        <f>F12/F11</f>
        <v>0.0625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1" t="s">
        <v>8</v>
      </c>
      <c r="B13" s="11" t="s">
        <v>21</v>
      </c>
      <c r="C13" s="11" t="s">
        <v>22</v>
      </c>
      <c r="D13" s="5"/>
      <c r="E13" s="5" t="s">
        <v>98</v>
      </c>
      <c r="F13" s="5">
        <f>COUNTIF('Bug Report'!$C$4:$C$200,E13)</f>
        <v>3</v>
      </c>
      <c r="G13" s="5">
        <f>F13/F11</f>
        <v>0.1875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20" t="s">
        <v>23</v>
      </c>
      <c r="B14" s="16">
        <f>COUNTIF('Bug Report'!$F$4:$F$200,A14)</f>
        <v>16</v>
      </c>
      <c r="C14" s="18">
        <f>B14/B18</f>
        <v>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22" t="s">
        <v>112</v>
      </c>
      <c r="B15" s="16">
        <f>COUNTIF('Bug Report'!$F$4:$F$200,A15)</f>
        <v>0</v>
      </c>
      <c r="C15" s="18">
        <f>B15/B18</f>
        <v>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24" t="s">
        <v>113</v>
      </c>
      <c r="B16" s="16">
        <f>COUNTIF('Bug Report'!$F$4:$F$200,A16)</f>
        <v>0</v>
      </c>
      <c r="C16" s="18">
        <f>B16/B18</f>
        <v>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36" t="s">
        <v>114</v>
      </c>
      <c r="B17" s="16">
        <f>COUNTIF('Bug Report'!$F$4:$F$200,A17)</f>
        <v>0</v>
      </c>
      <c r="C17" s="18">
        <f>B17/B18</f>
        <v>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26" t="s">
        <v>79</v>
      </c>
      <c r="B18" s="26">
        <f>SUM(B14:B17)</f>
        <v>16</v>
      </c>
      <c r="C18" s="26" t="s">
        <v>83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37" t="s">
        <v>115</v>
      </c>
      <c r="B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4" t="s">
        <v>30</v>
      </c>
      <c r="B21" s="38" t="s">
        <v>116</v>
      </c>
      <c r="C21" s="3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20" t="s">
        <v>20</v>
      </c>
      <c r="B22" s="38" t="s">
        <v>117</v>
      </c>
      <c r="C22" s="3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22" t="s">
        <v>38</v>
      </c>
      <c r="B23" s="38" t="s">
        <v>118</v>
      </c>
      <c r="C23" s="3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24" t="s">
        <v>63</v>
      </c>
      <c r="B24" s="38" t="s">
        <v>119</v>
      </c>
      <c r="C24" s="40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B22:C22"/>
    <mergeCell ref="B23:C23"/>
    <mergeCell ref="A1:F1"/>
    <mergeCell ref="A3:C3"/>
    <mergeCell ref="E3:G3"/>
    <mergeCell ref="A11:C11"/>
    <mergeCell ref="A19:C19"/>
    <mergeCell ref="B20:C20"/>
    <mergeCell ref="B21:C21"/>
  </mergeCells>
  <printOptions/>
  <pageMargins bottom="1.0" footer="0.0" header="0.0" left="0.75" right="0.75" top="1.0"/>
  <pageSetup paperSize="9" orientation="portrait"/>
  <drawing r:id="rId1"/>
</worksheet>
</file>